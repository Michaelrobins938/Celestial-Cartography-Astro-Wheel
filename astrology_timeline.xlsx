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ronological Timeline" sheetId="1" state="visible" r:id="rId1"/>
    <sheet xmlns:r="http://schemas.openxmlformats.org/officeDocument/2006/relationships" name="Developer Integra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Segoe UI Symbol"/>
      <sz val="12"/>
    </font>
  </fonts>
  <fills count="6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  <fill>
      <patternFill patternType="solid">
        <fgColor rgb="00F5F7FA"/>
        <bgColor rgb="00F5F7FA"/>
      </patternFill>
    </fill>
    <fill>
      <patternFill patternType="solid">
        <fgColor rgb="00DCE6F1"/>
        <bgColor rgb="00DCE6F1"/>
      </patternFill>
    </fill>
  </fills>
  <borders count="16">
    <border>
      <left/>
      <right/>
      <top/>
      <bottom/>
      <diagonal/>
    </border>
    <border>
      <left style="thin">
        <color rgb="00D3D3D3"/>
      </left>
      <top style="thin">
        <color rgb="00D3D3D3"/>
      </top>
    </border>
    <border>
      <top style="thin">
        <color rgb="00D3D3D3"/>
      </top>
    </border>
    <border>
      <right style="thin">
        <color rgb="00D3D3D3"/>
      </right>
      <top style="thin">
        <color rgb="00D3D3D3"/>
      </top>
    </border>
    <border>
      <left style="thin">
        <color rgb="00D3D3D3"/>
      </left>
    </border>
    <border/>
    <border>
      <right style="thin">
        <color rgb="00D3D3D3"/>
      </right>
    </border>
    <border>
      <left style="thin">
        <color rgb="00D3D3D3"/>
      </left>
      <bottom style="thin">
        <color rgb="00D3D3D3"/>
      </bottom>
    </border>
    <border>
      <bottom style="thin">
        <color rgb="00D3D3D3"/>
      </bottom>
    </border>
    <border>
      <right style="thin">
        <color rgb="00D3D3D3"/>
      </right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bottom style="medium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3" borderId="13" applyAlignment="1" pivotButton="0" quotePrefix="0" xfId="0">
      <alignment horizontal="center" vertical="center" wrapText="1"/>
    </xf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3" fillId="0" borderId="14" applyAlignment="1" pivotButton="0" quotePrefix="0" xfId="0">
      <alignment horizontal="center" vertical="center"/>
    </xf>
    <xf numFmtId="0" fontId="4" fillId="0" borderId="14" applyAlignment="1" pivotButton="0" quotePrefix="0" xfId="0">
      <alignment horizontal="left" vertical="center"/>
    </xf>
    <xf numFmtId="0" fontId="6" fillId="0" borderId="14" applyAlignment="1" pivotButton="0" quotePrefix="0" xfId="0">
      <alignment horizontal="center" vertical="center"/>
    </xf>
    <xf numFmtId="0" fontId="4" fillId="2" borderId="4" pivotButton="0" quotePrefix="0" xfId="0"/>
    <xf numFmtId="0" fontId="3" fillId="2" borderId="6" applyAlignment="1" pivotButton="0" quotePrefix="0" xfId="0">
      <alignment horizontal="right" vertical="center"/>
    </xf>
    <xf numFmtId="0" fontId="3" fillId="4" borderId="14" applyAlignment="1" pivotButton="0" quotePrefix="0" xfId="0">
      <alignment horizontal="center" vertical="center"/>
    </xf>
    <xf numFmtId="0" fontId="4" fillId="4" borderId="14" applyAlignment="1" pivotButton="0" quotePrefix="0" xfId="0">
      <alignment horizontal="left" vertical="center"/>
    </xf>
    <xf numFmtId="0" fontId="6" fillId="4" borderId="14" applyAlignment="1" pivotButton="0" quotePrefix="0" xfId="0">
      <alignment horizontal="center" vertical="center"/>
    </xf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3" fillId="5" borderId="15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22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5" customWidth="1" min="2" max="2"/>
    <col width="8" customWidth="1" min="3" max="3"/>
    <col width="8" customWidth="1" min="4" max="4"/>
    <col width="3" customWidth="1" min="5" max="5"/>
    <col width="15" customWidth="1" min="6" max="6"/>
    <col width="40" customWidth="1" min="7" max="7"/>
    <col width="18" customWidth="1" min="8" max="8"/>
    <col width="10" customWidth="1" min="9" max="9"/>
    <col width="20" customWidth="1" min="10" max="10"/>
    <col width="12" customWidth="1" min="11" max="11"/>
    <col width="20" customWidth="1" min="12" max="12"/>
    <col width="10" customWidth="1" min="13" max="13"/>
    <col width="18" customWidth="1" min="14" max="14"/>
    <col width="15" customWidth="1" min="15" max="15"/>
    <col width="55" customWidth="1" min="16" max="16"/>
  </cols>
  <sheetData>
    <row r="2">
      <c r="B2" s="1" t="inlineStr">
        <is>
          <t>Chronological Timeline (102)</t>
        </is>
      </c>
    </row>
    <row r="3">
      <c r="B3" s="2" t="inlineStr">
        <is>
          <t>Astrological &amp; Astronomical Events (August 2026 – August 2027)</t>
        </is>
      </c>
    </row>
    <row r="5">
      <c r="B5" s="3" t="inlineStr">
        <is>
          <t>TIMELINE METRICS SUMMARY</t>
        </is>
      </c>
      <c r="C5" s="4" t="n"/>
      <c r="D5" s="5" t="n"/>
      <c r="F5" s="6" t="inlineStr">
        <is>
          <t>Date</t>
        </is>
      </c>
      <c r="G5" s="6" t="inlineStr">
        <is>
          <t>Event Name</t>
        </is>
      </c>
      <c r="H5" s="6" t="inlineStr">
        <is>
          <t>Primary Body</t>
        </is>
      </c>
      <c r="I5" s="6" t="inlineStr">
        <is>
          <t>Glyph 1</t>
        </is>
      </c>
      <c r="J5" s="6" t="inlineStr">
        <is>
          <t>Aspect/Action</t>
        </is>
      </c>
      <c r="K5" s="6" t="inlineStr">
        <is>
          <t>Glyph/Sym</t>
        </is>
      </c>
      <c r="L5" s="6" t="inlineStr">
        <is>
          <t>Secondary Body</t>
        </is>
      </c>
      <c r="M5" s="6" t="inlineStr">
        <is>
          <t>Glyph 2</t>
        </is>
      </c>
      <c r="N5" s="6" t="inlineStr">
        <is>
          <t>Position</t>
        </is>
      </c>
      <c r="O5" s="6" t="inlineStr">
        <is>
          <t>Category</t>
        </is>
      </c>
      <c r="P5" s="6" t="inlineStr">
        <is>
          <t>Interpretation &amp; Notes</t>
        </is>
      </c>
    </row>
    <row r="6">
      <c r="B6" s="7" t="n"/>
      <c r="C6" s="8" t="n"/>
      <c r="D6" s="9" t="n"/>
      <c r="F6" s="10" t="inlineStr">
        <is>
          <t>2026-08-28</t>
        </is>
      </c>
      <c r="G6" s="11" t="inlineStr">
        <is>
          <t>Lunar Eclipse (Partial)</t>
        </is>
      </c>
      <c r="H6" s="11" t="inlineStr">
        <is>
          <t>Moon</t>
        </is>
      </c>
      <c r="I6" s="12" t="inlineStr">
        <is>
          <t>☽</t>
        </is>
      </c>
      <c r="J6" s="11" t="inlineStr">
        <is>
          <t>Partial Eclipse</t>
        </is>
      </c>
      <c r="K6" s="12" t="inlineStr">
        <is>
          <t>☿</t>
        </is>
      </c>
      <c r="L6" s="11" t="inlineStr">
        <is>
          <t>Sun/Earth</t>
        </is>
      </c>
      <c r="M6" s="12" t="inlineStr">
        <is>
          <t>☉</t>
        </is>
      </c>
      <c r="N6" s="11" t="inlineStr">
        <is>
          <t>Aries/Libra Axis</t>
        </is>
      </c>
      <c r="O6" s="11" t="inlineStr">
        <is>
          <t>Eclipse</t>
        </is>
      </c>
      <c r="P6" s="11" t="inlineStr">
        <is>
          <t>Partial Lunar Eclipse. Represents alignment on the nodal axis, reflecting emotional and structural pivots.</t>
        </is>
      </c>
    </row>
    <row r="7">
      <c r="B7" s="13" t="inlineStr">
        <is>
          <t>Total Chronological Events:</t>
        </is>
      </c>
      <c r="C7" s="8" t="n"/>
      <c r="D7" s="14">
        <f>COUNTA(F6:F22)</f>
        <v/>
      </c>
      <c r="F7" s="15" t="inlineStr">
        <is>
          <t>2026-08-31</t>
        </is>
      </c>
      <c r="G7" s="16" t="inlineStr">
        <is>
          <t>♃♄ Trine</t>
        </is>
      </c>
      <c r="H7" s="16" t="inlineStr">
        <is>
          <t>Jupiter</t>
        </is>
      </c>
      <c r="I7" s="17" t="inlineStr">
        <is>
          <t>♃</t>
        </is>
      </c>
      <c r="J7" s="16" t="inlineStr">
        <is>
          <t>Trine</t>
        </is>
      </c>
      <c r="K7" s="17" t="inlineStr">
        <is>
          <t>△</t>
        </is>
      </c>
      <c r="L7" s="16" t="inlineStr">
        <is>
          <t>Saturn</t>
        </is>
      </c>
      <c r="M7" s="17" t="inlineStr">
        <is>
          <t>♄</t>
        </is>
      </c>
      <c r="N7" s="16" t="inlineStr">
        <is>
          <t>-</t>
        </is>
      </c>
      <c r="O7" s="16" t="inlineStr">
        <is>
          <t>Aspect</t>
        </is>
      </c>
      <c r="P7" s="16" t="inlineStr">
        <is>
          <t>Major harmonic trine between Jupiter and Saturn. Represents structured expansion and self-organizing social systems.</t>
        </is>
      </c>
    </row>
    <row r="8">
      <c r="B8" s="13" t="inlineStr">
        <is>
          <t>Eclipses:</t>
        </is>
      </c>
      <c r="C8" s="8" t="n"/>
      <c r="D8" s="14">
        <f>COUNTIF(L6:L22, "*Eclipse*")</f>
        <v/>
      </c>
      <c r="F8" s="10" t="inlineStr">
        <is>
          <t>2026-09-10</t>
        </is>
      </c>
      <c r="G8" s="11" t="inlineStr">
        <is>
          <t>♀ Enters Scorpio</t>
        </is>
      </c>
      <c r="H8" s="11" t="inlineStr">
        <is>
          <t>Venus</t>
        </is>
      </c>
      <c r="I8" s="12" t="inlineStr">
        <is>
          <t>♀</t>
        </is>
      </c>
      <c r="J8" s="11" t="inlineStr">
        <is>
          <t>Ingress</t>
        </is>
      </c>
      <c r="K8" s="12" t="inlineStr">
        <is>
          <t>Enters</t>
        </is>
      </c>
      <c r="L8" s="11" t="inlineStr">
        <is>
          <t>Scorpio</t>
        </is>
      </c>
      <c r="M8" s="12" t="inlineStr">
        <is>
          <t>♏</t>
        </is>
      </c>
      <c r="N8" s="11" t="inlineStr">
        <is>
          <t>-</t>
        </is>
      </c>
      <c r="O8" s="11" t="inlineStr">
        <is>
          <t>Ingress</t>
        </is>
      </c>
      <c r="P8" s="11" t="inlineStr">
        <is>
          <t>Venus leaves Libra and enters Scorpio, bringing intensity and depth to relational dynamics.</t>
        </is>
      </c>
    </row>
    <row r="9">
      <c r="B9" s="13" t="inlineStr">
        <is>
          <t>Retrograde/Direct Stations:</t>
        </is>
      </c>
      <c r="C9" s="8" t="n"/>
      <c r="D9" s="14">
        <f>COUNTIF(L6:L22, "*Station*")</f>
        <v/>
      </c>
      <c r="F9" s="15" t="inlineStr">
        <is>
          <t>2026-09-10</t>
        </is>
      </c>
      <c r="G9" s="16" t="inlineStr">
        <is>
          <t>☿ Enters Libra</t>
        </is>
      </c>
      <c r="H9" s="16" t="inlineStr">
        <is>
          <t>Mercury</t>
        </is>
      </c>
      <c r="I9" s="17" t="inlineStr">
        <is>
          <t>☿</t>
        </is>
      </c>
      <c r="J9" s="16" t="inlineStr">
        <is>
          <t>Ingress</t>
        </is>
      </c>
      <c r="K9" s="17" t="inlineStr">
        <is>
          <t>Enters</t>
        </is>
      </c>
      <c r="L9" s="16" t="inlineStr">
        <is>
          <t>Libra</t>
        </is>
      </c>
      <c r="M9" s="17" t="inlineStr">
        <is>
          <t>♎</t>
        </is>
      </c>
      <c r="N9" s="16" t="inlineStr">
        <is>
          <t>-</t>
        </is>
      </c>
      <c r="O9" s="16" t="inlineStr">
        <is>
          <t>Ingress</t>
        </is>
      </c>
      <c r="P9" s="16" t="inlineStr">
        <is>
          <t>Mercury leaves Virgo and enters Libra. Corrects previous misreadings where Saturn/Jupiter were mistaken for this ingress.</t>
        </is>
      </c>
    </row>
    <row r="10">
      <c r="B10" s="13" t="inlineStr">
        <is>
          <t>Sign Ingresses / Solstices:</t>
        </is>
      </c>
      <c r="C10" s="8" t="n"/>
      <c r="D10" s="14">
        <f>COUNTIF(L6:L22, "*Ingress*") + COUNTIF(L6:L22, "*Equinox*") + COUNTIF(L6:L22, "*Solstice*")</f>
        <v/>
      </c>
      <c r="F10" s="10" t="inlineStr">
        <is>
          <t>2026-09-10</t>
        </is>
      </c>
      <c r="G10" s="11" t="inlineStr">
        <is>
          <t>♅ Stationary Retrograde @ Gemini 5°42'</t>
        </is>
      </c>
      <c r="H10" s="11" t="inlineStr">
        <is>
          <t>Uranus</t>
        </is>
      </c>
      <c r="I10" s="12" t="inlineStr">
        <is>
          <t>♅</t>
        </is>
      </c>
      <c r="J10" s="11" t="inlineStr">
        <is>
          <t>Station Retrograde</t>
        </is>
      </c>
      <c r="K10" s="12" t="inlineStr">
        <is>
          <t>Rx</t>
        </is>
      </c>
      <c r="L10" s="11" t="inlineStr">
        <is>
          <t>Gemini</t>
        </is>
      </c>
      <c r="M10" s="12" t="inlineStr">
        <is>
          <t>♊</t>
        </is>
      </c>
      <c r="N10" s="11" t="inlineStr">
        <is>
          <t>Gemini 5°42'</t>
        </is>
      </c>
      <c r="O10" s="11" t="inlineStr">
        <is>
          <t>Station</t>
        </is>
      </c>
      <c r="P10" s="11" t="inlineStr">
        <is>
          <t>Uranus goes stationary retrograde, initiating a phase of inner mental revolution and technological revisions.</t>
        </is>
      </c>
    </row>
    <row r="11">
      <c r="B11" s="18" t="n"/>
      <c r="C11" s="19" t="n"/>
      <c r="D11" s="20" t="n"/>
      <c r="F11" s="15" t="inlineStr">
        <is>
          <t>2026-09-11</t>
        </is>
      </c>
      <c r="G11" s="16" t="inlineStr">
        <is>
          <t>New Moon</t>
        </is>
      </c>
      <c r="H11" s="16" t="inlineStr">
        <is>
          <t>Moon</t>
        </is>
      </c>
      <c r="I11" s="17" t="inlineStr">
        <is>
          <t>☽</t>
        </is>
      </c>
      <c r="J11" s="16" t="inlineStr">
        <is>
          <t>Conjunction</t>
        </is>
      </c>
      <c r="K11" s="17" t="inlineStr">
        <is>
          <t>☌</t>
        </is>
      </c>
      <c r="L11" s="16" t="inlineStr">
        <is>
          <t>Sun</t>
        </is>
      </c>
      <c r="M11" s="17" t="inlineStr">
        <is>
          <t>☉</t>
        </is>
      </c>
      <c r="N11" s="16" t="inlineStr">
        <is>
          <t>Virgo Axis</t>
        </is>
      </c>
      <c r="O11" s="16" t="inlineStr">
        <is>
          <t>New Moon</t>
        </is>
      </c>
      <c r="P11" s="16" t="inlineStr">
        <is>
          <t>Monthly lunation marking a time of resetting intentions and planting seeds of growth.</t>
        </is>
      </c>
    </row>
    <row r="12">
      <c r="F12" s="10" t="inlineStr">
        <is>
          <t>2026-09-23</t>
        </is>
      </c>
      <c r="G12" s="11" t="inlineStr">
        <is>
          <t>☉ Enters Libra (equinox)</t>
        </is>
      </c>
      <c r="H12" s="11" t="inlineStr">
        <is>
          <t>Sun</t>
        </is>
      </c>
      <c r="I12" s="12" t="inlineStr">
        <is>
          <t>☉</t>
        </is>
      </c>
      <c r="J12" s="11" t="inlineStr">
        <is>
          <t>Ingress</t>
        </is>
      </c>
      <c r="K12" s="12" t="inlineStr">
        <is>
          <t>Enters</t>
        </is>
      </c>
      <c r="L12" s="11" t="inlineStr">
        <is>
          <t>Libra</t>
        </is>
      </c>
      <c r="M12" s="12" t="inlineStr">
        <is>
          <t>♎</t>
        </is>
      </c>
      <c r="N12" s="11" t="inlineStr">
        <is>
          <t>-</t>
        </is>
      </c>
      <c r="O12" s="11" t="inlineStr">
        <is>
          <t>Equinox</t>
        </is>
      </c>
      <c r="P12" s="11" t="inlineStr">
        <is>
          <t>Autumn Equinox (Northern Hemisphere). Day and night are equal. Sun initiates solar season in Libra.</t>
        </is>
      </c>
    </row>
    <row r="13">
      <c r="F13" s="15" t="inlineStr">
        <is>
          <t>2026-10-03</t>
        </is>
      </c>
      <c r="G13" s="16" t="inlineStr">
        <is>
          <t>♀ Stationary Retrograde</t>
        </is>
      </c>
      <c r="H13" s="16" t="inlineStr">
        <is>
          <t>Venus</t>
        </is>
      </c>
      <c r="I13" s="17" t="inlineStr">
        <is>
          <t>♀</t>
        </is>
      </c>
      <c r="J13" s="16" t="inlineStr">
        <is>
          <t>Station Retrograde</t>
        </is>
      </c>
      <c r="K13" s="17" t="inlineStr">
        <is>
          <t>Rx</t>
        </is>
      </c>
      <c r="L13" s="16" t="inlineStr">
        <is>
          <t>-</t>
        </is>
      </c>
      <c r="M13" s="17" t="inlineStr">
        <is>
          <t>-</t>
        </is>
      </c>
      <c r="N13" s="16" t="inlineStr">
        <is>
          <t>Scorpio</t>
        </is>
      </c>
      <c r="O13" s="16" t="inlineStr">
        <is>
          <t>Station</t>
        </is>
      </c>
      <c r="P13" s="16" t="inlineStr">
        <is>
          <t>Venus goes stationary retrograde in Scorpio, prompting deep re-evaluation of relationship values and resources.</t>
        </is>
      </c>
    </row>
    <row r="14">
      <c r="F14" s="10" t="inlineStr">
        <is>
          <t>2026-10-16</t>
        </is>
      </c>
      <c r="G14" s="11" t="inlineStr">
        <is>
          <t>♇ Stationary Direct</t>
        </is>
      </c>
      <c r="H14" s="11" t="inlineStr">
        <is>
          <t>Pluto</t>
        </is>
      </c>
      <c r="I14" s="12" t="inlineStr">
        <is>
          <t>♇</t>
        </is>
      </c>
      <c r="J14" s="11" t="inlineStr">
        <is>
          <t>Station Direct</t>
        </is>
      </c>
      <c r="K14" s="12" t="inlineStr">
        <is>
          <t>Dx</t>
        </is>
      </c>
      <c r="L14" s="11" t="inlineStr">
        <is>
          <t>-</t>
        </is>
      </c>
      <c r="M14" s="12" t="inlineStr">
        <is>
          <t>-</t>
        </is>
      </c>
      <c r="N14" s="11" t="inlineStr">
        <is>
          <t>Capricorn</t>
        </is>
      </c>
      <c r="O14" s="11" t="inlineStr">
        <is>
          <t>Station</t>
        </is>
      </c>
      <c r="P14" s="11" t="inlineStr">
        <is>
          <t>Pluto stationing direct, unleashing consolidated deep systemic power and transformations.</t>
        </is>
      </c>
    </row>
    <row r="15">
      <c r="F15" s="15" t="inlineStr">
        <is>
          <t>2026-10-24</t>
        </is>
      </c>
      <c r="G15" s="16" t="inlineStr">
        <is>
          <t>☿ Stationary Retrograde</t>
        </is>
      </c>
      <c r="H15" s="16" t="inlineStr">
        <is>
          <t>Mercury</t>
        </is>
      </c>
      <c r="I15" s="17" t="inlineStr">
        <is>
          <t>☿</t>
        </is>
      </c>
      <c r="J15" s="16" t="inlineStr">
        <is>
          <t>Station Retrograde</t>
        </is>
      </c>
      <c r="K15" s="17" t="inlineStr">
        <is>
          <t>Rx</t>
        </is>
      </c>
      <c r="L15" s="16" t="inlineStr">
        <is>
          <t>-</t>
        </is>
      </c>
      <c r="M15" s="17" t="inlineStr">
        <is>
          <t>-</t>
        </is>
      </c>
      <c r="N15" s="16" t="inlineStr">
        <is>
          <t>Scorpio</t>
        </is>
      </c>
      <c r="O15" s="16" t="inlineStr">
        <is>
          <t>Station</t>
        </is>
      </c>
      <c r="P15" s="16" t="inlineStr">
        <is>
          <t>Mercury goes stationary retrograde, prompting internal review, reflection, and technical adjustments.</t>
        </is>
      </c>
    </row>
    <row r="16">
      <c r="F16" s="10" t="inlineStr">
        <is>
          <t>2026-12-10</t>
        </is>
      </c>
      <c r="G16" s="11" t="inlineStr">
        <is>
          <t>♄ Stationary Direct @ Aries 7°56'</t>
        </is>
      </c>
      <c r="H16" s="11" t="inlineStr">
        <is>
          <t>Saturn</t>
        </is>
      </c>
      <c r="I16" s="12" t="inlineStr">
        <is>
          <t>♄</t>
        </is>
      </c>
      <c r="J16" s="11" t="inlineStr">
        <is>
          <t>Station Direct</t>
        </is>
      </c>
      <c r="K16" s="12" t="inlineStr">
        <is>
          <t>Dx</t>
        </is>
      </c>
      <c r="L16" s="11" t="inlineStr">
        <is>
          <t>Aries</t>
        </is>
      </c>
      <c r="M16" s="12" t="inlineStr">
        <is>
          <t>♈</t>
        </is>
      </c>
      <c r="N16" s="11" t="inlineStr">
        <is>
          <t>Aries 7°56'</t>
        </is>
      </c>
      <c r="O16" s="11" t="inlineStr">
        <is>
          <t>Station</t>
        </is>
      </c>
      <c r="P16" s="11" t="inlineStr">
        <is>
          <t>Saturn stations direct, ending its retrograde period and solidifying boundaries, plans, and structures.</t>
        </is>
      </c>
    </row>
    <row r="17">
      <c r="F17" s="15" t="inlineStr">
        <is>
          <t>2026-12-21</t>
        </is>
      </c>
      <c r="G17" s="16" t="inlineStr">
        <is>
          <t>☉ Enters Capricorn (solstice)</t>
        </is>
      </c>
      <c r="H17" s="16" t="inlineStr">
        <is>
          <t>Sun</t>
        </is>
      </c>
      <c r="I17" s="17" t="inlineStr">
        <is>
          <t>☉</t>
        </is>
      </c>
      <c r="J17" s="16" t="inlineStr">
        <is>
          <t>Ingress</t>
        </is>
      </c>
      <c r="K17" s="17" t="inlineStr">
        <is>
          <t>Enters</t>
        </is>
      </c>
      <c r="L17" s="16" t="inlineStr">
        <is>
          <t>Capricorn</t>
        </is>
      </c>
      <c r="M17" s="17" t="inlineStr">
        <is>
          <t>♑</t>
        </is>
      </c>
      <c r="N17" s="16" t="inlineStr">
        <is>
          <t>-</t>
        </is>
      </c>
      <c r="O17" s="16" t="inlineStr">
        <is>
          <t>Solstice</t>
        </is>
      </c>
      <c r="P17" s="16" t="inlineStr">
        <is>
          <t>Winter Solstice (Northern Hemisphere). Shortest day, initiating solar transit through Capricorn.</t>
        </is>
      </c>
    </row>
    <row r="18">
      <c r="F18" s="10" t="inlineStr">
        <is>
          <t>2027-01-10</t>
        </is>
      </c>
      <c r="G18" s="11" t="inlineStr">
        <is>
          <t>♂ Stationary Retrograde</t>
        </is>
      </c>
      <c r="H18" s="11" t="inlineStr">
        <is>
          <t>Mars</t>
        </is>
      </c>
      <c r="I18" s="12" t="inlineStr">
        <is>
          <t>♂</t>
        </is>
      </c>
      <c r="J18" s="11" t="inlineStr">
        <is>
          <t>Station Retrograde</t>
        </is>
      </c>
      <c r="K18" s="12" t="inlineStr">
        <is>
          <t>Rx</t>
        </is>
      </c>
      <c r="L18" s="11" t="inlineStr">
        <is>
          <t>-</t>
        </is>
      </c>
      <c r="M18" s="12" t="inlineStr">
        <is>
          <t>-</t>
        </is>
      </c>
      <c r="N18" s="11" t="inlineStr">
        <is>
          <t>Leo/Virgo Axis</t>
        </is>
      </c>
      <c r="O18" s="11" t="inlineStr">
        <is>
          <t>Station</t>
        </is>
      </c>
      <c r="P18" s="11" t="inlineStr">
        <is>
          <t>Mars goes stationary retrograde, prompting redirection of drive, ambition, and physical energy.</t>
        </is>
      </c>
    </row>
    <row r="19">
      <c r="F19" s="15" t="inlineStr">
        <is>
          <t>2027-02-06</t>
        </is>
      </c>
      <c r="G19" s="16" t="inlineStr">
        <is>
          <t>Solar Eclipse (Annular) @ Aquarius 17°38'</t>
        </is>
      </c>
      <c r="H19" s="16" t="inlineStr">
        <is>
          <t>Sun/Moon</t>
        </is>
      </c>
      <c r="I19" s="17" t="inlineStr">
        <is>
          <t>☉/☽</t>
        </is>
      </c>
      <c r="J19" s="16" t="inlineStr">
        <is>
          <t>Annular Eclipse</t>
        </is>
      </c>
      <c r="K19" s="17" t="inlineStr">
        <is>
          <t>☊</t>
        </is>
      </c>
      <c r="L19" s="16" t="inlineStr">
        <is>
          <t>North Node</t>
        </is>
      </c>
      <c r="M19" s="17" t="inlineStr">
        <is>
          <t>☊</t>
        </is>
      </c>
      <c r="N19" s="16" t="inlineStr">
        <is>
          <t>Aquarius 17°38'</t>
        </is>
      </c>
      <c r="O19" s="16" t="inlineStr">
        <is>
          <t>Eclipse</t>
        </is>
      </c>
      <c r="P19" s="16" t="inlineStr">
        <is>
          <t>Beautiful pairing showing solar eclipse = new moon at the node! Perfect alignment @ Aquarius 17°38'.</t>
        </is>
      </c>
    </row>
    <row r="20">
      <c r="F20" s="10" t="inlineStr">
        <is>
          <t>2027-03-20</t>
        </is>
      </c>
      <c r="G20" s="11" t="inlineStr">
        <is>
          <t>☉ Enters Aries (March equinox)</t>
        </is>
      </c>
      <c r="H20" s="11" t="inlineStr">
        <is>
          <t>Sun</t>
        </is>
      </c>
      <c r="I20" s="12" t="inlineStr">
        <is>
          <t>☉</t>
        </is>
      </c>
      <c r="J20" s="11" t="inlineStr">
        <is>
          <t>Ingress</t>
        </is>
      </c>
      <c r="K20" s="12" t="inlineStr">
        <is>
          <t>Enters</t>
        </is>
      </c>
      <c r="L20" s="11" t="inlineStr">
        <is>
          <t>Aries</t>
        </is>
      </c>
      <c r="M20" s="12" t="inlineStr">
        <is>
          <t>♈</t>
        </is>
      </c>
      <c r="N20" s="11" t="inlineStr">
        <is>
          <t>-</t>
        </is>
      </c>
      <c r="O20" s="11" t="inlineStr">
        <is>
          <t>Equinox</t>
        </is>
      </c>
      <c r="P20" s="11" t="inlineStr">
        <is>
          <t>Vernal Equinox (Northern Hemisphere). Astrological New Year. Day and night are equal.</t>
        </is>
      </c>
    </row>
    <row r="21">
      <c r="F21" s="15" t="inlineStr">
        <is>
          <t>2027-08-02</t>
        </is>
      </c>
      <c r="G21" s="16" t="inlineStr">
        <is>
          <t>Solar Eclipse (Total) @ Leo 9°55'</t>
        </is>
      </c>
      <c r="H21" s="16" t="inlineStr">
        <is>
          <t>Sun/Moon</t>
        </is>
      </c>
      <c r="I21" s="17" t="inlineStr">
        <is>
          <t>☉/☽</t>
        </is>
      </c>
      <c r="J21" s="16" t="inlineStr">
        <is>
          <t>Total Eclipse</t>
        </is>
      </c>
      <c r="K21" s="17" t="inlineStr">
        <is>
          <t>☋</t>
        </is>
      </c>
      <c r="L21" s="16" t="inlineStr">
        <is>
          <t>South Node</t>
        </is>
      </c>
      <c r="M21" s="17" t="inlineStr">
        <is>
          <t>☋</t>
        </is>
      </c>
      <c r="N21" s="16" t="inlineStr">
        <is>
          <t>Leo 9°55'</t>
        </is>
      </c>
      <c r="O21" s="16" t="inlineStr">
        <is>
          <t>Eclipse</t>
        </is>
      </c>
      <c r="P21" s="16" t="inlineStr">
        <is>
          <t>Major total solar eclipse, highlighting Leo leadership, visibility, and creative expressions.</t>
        </is>
      </c>
    </row>
    <row r="22">
      <c r="F22" s="10" t="inlineStr">
        <is>
          <t>2027-08-23</t>
        </is>
      </c>
      <c r="G22" s="11" t="inlineStr">
        <is>
          <t>☉ Enters Virgo</t>
        </is>
      </c>
      <c r="H22" s="11" t="inlineStr">
        <is>
          <t>Sun</t>
        </is>
      </c>
      <c r="I22" s="12" t="inlineStr">
        <is>
          <t>☉</t>
        </is>
      </c>
      <c r="J22" s="11" t="inlineStr">
        <is>
          <t>Ingress</t>
        </is>
      </c>
      <c r="K22" s="12" t="inlineStr">
        <is>
          <t>Enters</t>
        </is>
      </c>
      <c r="L22" s="11" t="inlineStr">
        <is>
          <t>Virgo</t>
        </is>
      </c>
      <c r="M22" s="12" t="inlineStr">
        <is>
          <t>♍</t>
        </is>
      </c>
      <c r="N22" s="11" t="inlineStr">
        <is>
          <t>-</t>
        </is>
      </c>
      <c r="O22" s="11" t="inlineStr">
        <is>
          <t>Ingress</t>
        </is>
      </c>
      <c r="P22" s="11" t="inlineStr">
        <is>
          <t>Sun enters Virgo, transitioning focus to details, efficiency, and self-organization.</t>
        </is>
      </c>
    </row>
  </sheetData>
  <mergeCells count="1">
    <mergeCell ref="B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46"/>
  <sheetViews>
    <sheetView showGridLines="0" workbookViewId="0">
      <selection activeCell="A1" sqref="A1"/>
    </sheetView>
  </sheetViews>
  <sheetFormatPr baseColWidth="8" defaultRowHeight="15"/>
  <cols>
    <col width="85" customWidth="1" min="2" max="2"/>
  </cols>
  <sheetData>
    <row r="2">
      <c r="B2" s="1" t="inlineStr">
        <is>
          <t>Astrology Tool Integration &amp; API Design Guide</t>
        </is>
      </c>
    </row>
    <row r="3">
      <c r="B3" s="2" t="inlineStr">
        <is>
          <t>Chronological Timeline Implementation Pattern</t>
        </is>
      </c>
    </row>
    <row r="5">
      <c r="B5" s="21" t="inlineStr">
        <is>
          <t>1. ARCHITECTURAL OVERVIEW</t>
        </is>
      </c>
    </row>
    <row r="7">
      <c r="B7" s="22" t="inlineStr">
        <is>
          <t>To integrate this chronological timeline into an astrology charting tool, you should model these events</t>
        </is>
      </c>
    </row>
    <row r="8">
      <c r="B8" s="22" t="inlineStr">
        <is>
          <t>as a highly structured transit database. This spreadsheet serves as the database seed (schema mapped below).</t>
        </is>
      </c>
    </row>
    <row r="9">
      <c r="B9" s="22" t="inlineStr">
        <is>
          <t>By parsing these events programmatically, your tool can overlay transit markers onto natal charts,</t>
        </is>
      </c>
    </row>
    <row r="10">
      <c r="B10" s="22" t="inlineStr">
        <is>
          <t>draw aspect lines on dynamic wheels, and render beautiful chronological cards for user dashboards.</t>
        </is>
      </c>
    </row>
    <row r="13">
      <c r="B13" s="21" t="inlineStr">
        <is>
          <t>2. RECOMMENDED DATABASE SCHEMA (JSON/SQL Mapping)</t>
        </is>
      </c>
    </row>
    <row r="15">
      <c r="B15" s="22" t="inlineStr">
        <is>
          <t>Each event record should contain the following fields:</t>
        </is>
      </c>
    </row>
    <row r="16">
      <c r="B16" s="22" t="inlineStr">
        <is>
          <t xml:space="preserve"> - event_id: Unique string identifier (e.g., 'evt_20260831_jup_sat_trine')</t>
        </is>
      </c>
    </row>
    <row r="17">
      <c r="B17" s="22" t="inlineStr">
        <is>
          <t xml:space="preserve"> - timestamp: ISO-8601 UTC timestamp or date string ('2026-08-31')</t>
        </is>
      </c>
    </row>
    <row r="18">
      <c r="B18" s="22" t="inlineStr">
        <is>
          <t xml:space="preserve"> - type: Event category enum ('eclipse_lunar', 'eclipse_solar', 'ingress', 'aspect', 'station_rx', 'station_dx')</t>
        </is>
      </c>
    </row>
    <row r="19">
      <c r="B19" s="22" t="inlineStr">
        <is>
          <t xml:space="preserve"> - primary_body: Enum indicating the moving body (e.g., 'JUPITER', 'SUN', 'VENUS')</t>
        </is>
      </c>
    </row>
    <row r="20">
      <c r="B20" s="22" t="inlineStr">
        <is>
          <t xml:space="preserve"> - glyph_primary: Unicode string containing the correct glyph (e.g., '♃')</t>
        </is>
      </c>
    </row>
    <row r="21">
      <c r="B21" s="22" t="inlineStr">
        <is>
          <t xml:space="preserve"> - aspect_or_action: Enum representing the geometric angle or phase (e.g., 'TRINE', 'INGRESS', 'RETROGRADE')</t>
        </is>
      </c>
    </row>
    <row r="22">
      <c r="B22" s="22" t="inlineStr">
        <is>
          <t xml:space="preserve"> - aspect_glyph: Unicode glyph (e.g., '△', 'Rx')</t>
        </is>
      </c>
    </row>
    <row r="23">
      <c r="B23" s="22" t="inlineStr">
        <is>
          <t xml:space="preserve"> - secondary_body: Optional second body for aspects or the sign of ingress/location (e.g., 'SATURN', 'SCORPIO')</t>
        </is>
      </c>
    </row>
    <row r="24">
      <c r="B24" s="22" t="inlineStr">
        <is>
          <t xml:space="preserve"> - position_coord: Astrological coordinate dictionary { 'sign': 'GEMINI', 'degree': 5, 'minute': 42 }</t>
        </is>
      </c>
    </row>
    <row r="25">
      <c r="B25" s="22" t="inlineStr">
        <is>
          <t xml:space="preserve"> - notes: String description of the event's meaning or user verification notes.</t>
        </is>
      </c>
    </row>
    <row r="28">
      <c r="B28" s="21" t="inlineStr">
        <is>
          <t>3. UNICODE ASTROLOGICAL GLYPH REFERENCE TABLE</t>
        </is>
      </c>
    </row>
    <row r="30">
      <c r="B30" s="22" t="inlineStr">
        <is>
          <t>Ensure your charting tool uses a font that supports 'Segoe UI Symbol', 'Quivira', or standard astronomical</t>
        </is>
      </c>
    </row>
    <row r="31">
      <c r="B31" s="22" t="inlineStr">
        <is>
          <t>unicode ranges to guarantee rendering of these essential glyphs:</t>
        </is>
      </c>
    </row>
    <row r="32">
      <c r="B32" s="22" t="inlineStr">
        <is>
          <t xml:space="preserve"> - ☉ Sun (U+2609)      - ☽ Moon (U+2619)      - ☿ Mercury (U+263F)    - ♀ Venus (U+2640)</t>
        </is>
      </c>
    </row>
    <row r="33">
      <c r="B33" s="22" t="inlineStr">
        <is>
          <t xml:space="preserve"> - ♂ Mars (U+2642)     - ♃ Jupiter (U+2643)   - ♄ Saturn (U+2644)     - ♅ Uranus (U+2645)</t>
        </is>
      </c>
    </row>
    <row r="34">
      <c r="B34" s="22" t="inlineStr">
        <is>
          <t xml:space="preserve"> - ♇ Pluto (U+2647)    - ♈ Aries (U+2648)     - ♏ Scorpio (U+264F)    - ♎ Libra (U+264E)</t>
        </is>
      </c>
    </row>
    <row r="35">
      <c r="B35" s="22" t="inlineStr">
        <is>
          <t xml:space="preserve"> - ♑ Capricorn (U+2651)- ♒ Aquarius (U+2652) - ♍ Virgo (U+264D)     - ♌ Leo (U+264C)</t>
        </is>
      </c>
    </row>
    <row r="36">
      <c r="B36" s="22" t="inlineStr">
        <is>
          <t xml:space="preserve"> - ☌ Conjunction (U+260C) - △ Trine (U+25B3) - ☊ North Node (U+260A) - ☋ South Node (U+260B)</t>
        </is>
      </c>
    </row>
    <row r="39">
      <c r="B39" s="21" t="inlineStr">
        <is>
          <t>4. HARMONIC ORBIT RESONANCES &amp; SELF-ORGANIZATION CONNECTION</t>
        </is>
      </c>
    </row>
    <row r="41">
      <c r="B41" s="22" t="inlineStr">
        <is>
          <t>Grounded in planetary physics (Aschwanden, 2018), orbits in our solar system are self-organizing</t>
        </is>
      </c>
    </row>
    <row r="42">
      <c r="B42" s="22" t="inlineStr">
        <is>
          <t>and settle into quantized, low-harmonic resonances (such as 3:2, 5:3, 2:1, 5:2, 3:1) due to long-term</t>
        </is>
      </c>
    </row>
    <row r="43">
      <c r="B43" s="22" t="inlineStr">
        <is>
          <t>stabilizing gravitational feedback. Major astrological aspects like the Jupiter-Saturn Trine represent</t>
        </is>
      </c>
    </row>
    <row r="44">
      <c r="B44" s="22" t="inlineStr">
        <is>
          <t>the periodic alignment of these highly stable, self-organized harmonic cycles. An annular or total solar</t>
        </is>
      </c>
    </row>
    <row r="45">
      <c r="B45" s="22" t="inlineStr">
        <is>
          <t>eclipse is a perfect physical demonstration of a 1:1 moon-to-sun orbital resonance occurring on the</t>
        </is>
      </c>
    </row>
    <row r="46">
      <c r="B46" s="22" t="inlineStr">
        <is>
          <t>lunar nodal axis, which is beautifully captured in this timeline on 2027-02-06 and 2027-08-02.</t>
        </is>
      </c>
    </row>
  </sheetData>
  <mergeCells count="4">
    <mergeCell ref="B28:J28"/>
    <mergeCell ref="B13:J13"/>
    <mergeCell ref="B5:J5"/>
    <mergeCell ref="B39:J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2026-08-26T00:21:33Z</dcterms:created>
  <dcterms:modified xmlns:dcterms="http://purl.org/dc/terms/" xmlns:xsi="http://www.w3.org/2001/XMLSchema-instance" xsi:type="dcterms:W3CDTF">2026-08-26T00:21:33Z</dcterms:modified>
</cp:coreProperties>
</file>